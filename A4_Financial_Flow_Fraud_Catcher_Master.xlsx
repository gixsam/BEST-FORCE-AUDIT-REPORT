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 Flow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BDT] #,##0.00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0F172A"/>
      <sz val="10.5"/>
    </font>
    <font>
      <name val="Segoe UI"/>
      <b val="1"/>
      <color rgb="00FFFFFF"/>
      <sz val="9.5"/>
    </font>
    <font>
      <name val="Segoe UI"/>
      <sz val="9.5"/>
    </font>
    <font>
      <name val="Segoe UI"/>
      <b val="1"/>
      <sz val="9.5"/>
    </font>
    <font>
      <name val="Segoe UI"/>
      <b val="1"/>
      <color rgb="00991B1B"/>
      <sz val="9.5"/>
    </font>
    <font>
      <name val="Segoe UI"/>
      <b val="1"/>
      <color rgb="0092400E"/>
      <sz val="9.5"/>
    </font>
    <font>
      <name val="Segoe UI"/>
      <b val="1"/>
      <color rgb="00166534"/>
      <sz val="9.5"/>
    </font>
    <font>
      <name val="Segoe UI"/>
      <b val="1"/>
      <sz val="10"/>
    </font>
    <font>
      <name val="Segoe UI"/>
      <b val="1"/>
      <color rgb="000F172A"/>
      <sz val="10"/>
    </font>
  </fonts>
  <fills count="13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E8F0FE"/>
      </patternFill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0369A1"/>
      </patternFill>
    </fill>
    <fill>
      <patternFill patternType="solid">
        <fgColor rgb="00166534"/>
      </patternFill>
    </fill>
    <fill>
      <patternFill patternType="solid">
        <fgColor rgb="00B45309"/>
      </patternFill>
    </fill>
    <fill>
      <patternFill patternType="solid">
        <fgColor rgb="00FEF2F2"/>
      </patternFill>
    </fill>
    <fill>
      <patternFill patternType="solid">
        <fgColor rgb="00FFFBEB"/>
      </patternFill>
    </fill>
    <fill>
      <patternFill patternType="solid">
        <fgColor rgb="00F0FDF4"/>
      </patternFill>
    </fill>
    <fill>
      <patternFill patternType="solid">
        <fgColor rgb="00E2E8F0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medium">
        <color rgb="000F172A"/>
      </top>
      <bottom style="medium">
        <color rgb="000F172A"/>
      </bottom>
    </border>
    <border>
      <left style="thin">
        <color rgb="00CBD5E1"/>
      </left>
      <right style="thin">
        <color rgb="00CBD5E1"/>
      </right>
      <top style="thin">
        <color rgb="00CBD5E1"/>
      </top>
      <bottom/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0F172A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5" fillId="9" borderId="2" applyAlignment="1" pivotButton="0" quotePrefix="0" xfId="0">
      <alignment horizontal="center" vertical="center"/>
    </xf>
    <xf numFmtId="0" fontId="4" fillId="9" borderId="2" applyAlignment="1" pivotButton="0" quotePrefix="0" xfId="0">
      <alignment horizontal="left" vertical="center" wrapText="1"/>
    </xf>
    <xf numFmtId="164" fontId="5" fillId="9" borderId="2" applyAlignment="1" pivotButton="0" quotePrefix="0" xfId="0">
      <alignment horizontal="right" vertical="center"/>
    </xf>
    <xf numFmtId="0" fontId="4" fillId="9" borderId="2" applyAlignment="1" pivotButton="0" quotePrefix="0" xfId="0">
      <alignment horizontal="right" vertical="center"/>
    </xf>
    <xf numFmtId="0" fontId="6" fillId="9" borderId="2" applyAlignment="1" pivotButton="0" quotePrefix="0" xfId="0">
      <alignment horizontal="left" vertical="center" wrapText="1"/>
    </xf>
    <xf numFmtId="0" fontId="4" fillId="10" borderId="2" applyAlignment="1" pivotButton="0" quotePrefix="0" xfId="0">
      <alignment horizontal="center" vertical="center"/>
    </xf>
    <xf numFmtId="0" fontId="5" fillId="10" borderId="2" applyAlignment="1" pivotButton="0" quotePrefix="0" xfId="0">
      <alignment horizontal="center" vertical="center"/>
    </xf>
    <xf numFmtId="0" fontId="4" fillId="10" borderId="2" applyAlignment="1" pivotButton="0" quotePrefix="0" xfId="0">
      <alignment horizontal="left" vertical="center" wrapText="1"/>
    </xf>
    <xf numFmtId="0" fontId="4" fillId="10" borderId="2" applyAlignment="1" pivotButton="0" quotePrefix="0" xfId="0">
      <alignment horizontal="right" vertical="center"/>
    </xf>
    <xf numFmtId="164" fontId="5" fillId="10" borderId="2" applyAlignment="1" pivotButton="0" quotePrefix="0" xfId="0">
      <alignment horizontal="right" vertical="center"/>
    </xf>
    <xf numFmtId="0" fontId="7" fillId="10" borderId="2" applyAlignment="1" pivotButton="0" quotePrefix="0" xfId="0">
      <alignment horizontal="left" vertical="center" wrapText="1"/>
    </xf>
    <xf numFmtId="0" fontId="4" fillId="11" borderId="2" applyAlignment="1" pivotButton="0" quotePrefix="0" xfId="0">
      <alignment horizontal="center" vertical="center"/>
    </xf>
    <xf numFmtId="0" fontId="5" fillId="11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left" vertical="center" wrapText="1"/>
    </xf>
    <xf numFmtId="164" fontId="5" fillId="11" borderId="2" applyAlignment="1" pivotButton="0" quotePrefix="0" xfId="0">
      <alignment horizontal="right" vertical="center"/>
    </xf>
    <xf numFmtId="0" fontId="4" fillId="11" borderId="2" applyAlignment="1" pivotButton="0" quotePrefix="0" xfId="0">
      <alignment horizontal="right" vertical="center"/>
    </xf>
    <xf numFmtId="0" fontId="8" fillId="11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4" fillId="10" borderId="3" applyAlignment="1" pivotButton="0" quotePrefix="0" xfId="0">
      <alignment horizontal="left" vertical="center" wrapText="1"/>
    </xf>
    <xf numFmtId="164" fontId="5" fillId="10" borderId="3" applyAlignment="1" pivotButton="0" quotePrefix="0" xfId="0">
      <alignment horizontal="right" vertical="center"/>
    </xf>
    <xf numFmtId="0" fontId="4" fillId="10" borderId="3" applyAlignment="1" pivotButton="0" quotePrefix="0" xfId="0">
      <alignment horizontal="right" vertical="center"/>
    </xf>
    <xf numFmtId="0" fontId="7" fillId="10" borderId="3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right" vertical="center"/>
    </xf>
    <xf numFmtId="0" fontId="0" fillId="0" borderId="1" pivotButton="0" quotePrefix="0" xfId="0"/>
    <xf numFmtId="164" fontId="10" fillId="12" borderId="1" applyAlignment="1" pivotButton="0" quotePrefix="0" xfId="0">
      <alignment horizontal="right" vertical="center"/>
    </xf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55" customWidth="1" min="10" max="10"/>
  </cols>
  <sheetData>
    <row r="1" ht="32" customHeight="1">
      <c r="A1" s="1" t="inlineStr">
        <is>
          <t>MASTER FINANCIAL FLOW &amp; FRAUD CATCHER (DBBL, SIBL, UCB, MMBPLC)</t>
        </is>
      </c>
    </row>
    <row r="2" ht="22" customHeight="1">
      <c r="A2" s="2" t="inlineStr">
        <is>
          <t>Tracking exact invoice amounts vs. Company Received vs. Actual Guard Payouts (Summary Hit-List)</t>
        </is>
      </c>
    </row>
    <row r="4" ht="34" customHeight="1">
      <c r="A4" s="3" t="inlineStr">
        <is>
          <t>SL NO</t>
        </is>
      </c>
      <c r="B4" s="3" t="inlineStr">
        <is>
          <t>BANK</t>
        </is>
      </c>
      <c r="C4" s="3" t="inlineStr">
        <is>
          <t>BRANCH / SUB-BRANCH</t>
        </is>
      </c>
      <c r="D4" s="3" t="inlineStr">
        <is>
          <t>DUTY POST</t>
        </is>
      </c>
      <c r="E4" s="4" t="inlineStr">
        <is>
          <t>TOTAL BILL OF
SERVICE (INVOICED)</t>
        </is>
      </c>
      <c r="F4" s="5" t="inlineStr">
        <is>
          <t>CO. RECEIVED:
COMMISSION ONLY</t>
        </is>
      </c>
      <c r="G4" s="5" t="inlineStr">
        <is>
          <t>CO. RECEIVED:
FULL BILL</t>
        </is>
      </c>
      <c r="H4" s="6" t="inlineStr">
        <is>
          <t>SALARY GIVEN
BY COMPANY</t>
        </is>
      </c>
      <c r="I4" s="7" t="inlineStr">
        <is>
          <t>SALARY GIVEN
BY BANK</t>
        </is>
      </c>
      <c r="J4" s="3" t="inlineStr">
        <is>
          <t>REMARK / AUDIT FINDING</t>
        </is>
      </c>
    </row>
    <row r="5" ht="28" customHeight="1">
      <c r="A5" s="8" t="n">
        <v>1</v>
      </c>
      <c r="B5" s="9" t="inlineStr">
        <is>
          <t>SIBL</t>
        </is>
      </c>
      <c r="C5" s="10" t="inlineStr">
        <is>
          <t>Mohammadpur</t>
        </is>
      </c>
      <c r="D5" s="10" t="inlineStr">
        <is>
          <t>Tajmohal Road NCR ATM</t>
        </is>
      </c>
      <c r="E5" s="11" t="n">
        <v>39000</v>
      </c>
      <c r="F5" s="12" t="n"/>
      <c r="G5" s="11" t="n">
        <v>39000</v>
      </c>
      <c r="H5" s="11" t="n">
        <v>27000</v>
      </c>
      <c r="I5" s="11" t="n">
        <v>27000</v>
      </c>
      <c r="J5" s="13" t="inlineStr">
        <is>
          <t>🚨 FRAUD (DOUBLE PAY): Both salary columns filled. 54k paid out for a 27k post. Jahed (Bank) vs Sabbir/Mabudul (Co).</t>
        </is>
      </c>
    </row>
    <row r="6" ht="28" customHeight="1">
      <c r="A6" s="8" t="n">
        <v>2</v>
      </c>
      <c r="B6" s="9" t="inlineStr">
        <is>
          <t>SIBL</t>
        </is>
      </c>
      <c r="C6" s="10" t="inlineStr">
        <is>
          <t>Dakkhin Khan</t>
        </is>
      </c>
      <c r="D6" s="10" t="inlineStr">
        <is>
          <t>Dakkhin Khan Branch</t>
        </is>
      </c>
      <c r="E6" s="11" t="n">
        <v>55000</v>
      </c>
      <c r="F6" s="12" t="n"/>
      <c r="G6" s="11" t="n">
        <v>55000</v>
      </c>
      <c r="H6" s="12" t="n"/>
      <c r="I6" s="11" t="n">
        <v>34500</v>
      </c>
      <c r="J6" s="13" t="inlineStr">
        <is>
          <t>🚨 FRAUD (DOUBLE BILLING): Company took full bill but Bank paid Nazrul directly.</t>
        </is>
      </c>
    </row>
    <row r="7" ht="28" customHeight="1">
      <c r="A7" s="8" t="n">
        <v>3</v>
      </c>
      <c r="B7" s="9" t="inlineStr">
        <is>
          <t>SIBL</t>
        </is>
      </c>
      <c r="C7" s="10" t="inlineStr">
        <is>
          <t>Dakkhin Khan</t>
        </is>
      </c>
      <c r="D7" s="10" t="inlineStr">
        <is>
          <t>Dakkhin Khan ATM</t>
        </is>
      </c>
      <c r="E7" s="11" t="n">
        <v>44550</v>
      </c>
      <c r="F7" s="12" t="n"/>
      <c r="G7" s="11" t="n">
        <v>44550</v>
      </c>
      <c r="H7" s="12" t="n"/>
      <c r="I7" s="11" t="n">
        <v>24000</v>
      </c>
      <c r="J7" s="13" t="inlineStr">
        <is>
          <t>🚨 FRAUD (DOUBLE BILLING): Company took full bill but Bank paid Sadek &amp; Nurul directly.</t>
        </is>
      </c>
    </row>
    <row r="8" ht="28" customHeight="1">
      <c r="A8" s="8" t="n">
        <v>4</v>
      </c>
      <c r="B8" s="9" t="inlineStr">
        <is>
          <t>SIBL</t>
        </is>
      </c>
      <c r="C8" s="10" t="inlineStr">
        <is>
          <t>Sherpur</t>
        </is>
      </c>
      <c r="D8" s="10" t="inlineStr">
        <is>
          <t>S.S Filling &amp; Babor Rice Mill</t>
        </is>
      </c>
      <c r="E8" s="11" t="n">
        <v>103950</v>
      </c>
      <c r="F8" s="12" t="n"/>
      <c r="G8" s="11" t="n">
        <v>103950</v>
      </c>
      <c r="H8" s="12" t="n"/>
      <c r="I8" s="11" t="n">
        <v>69100</v>
      </c>
      <c r="J8" s="13" t="inlineStr">
        <is>
          <t>🚨 FRAUD: Full bill claimed while Bank directly paid Soukat Jahan Khan 69.1k.</t>
        </is>
      </c>
    </row>
    <row r="9" ht="28" customHeight="1">
      <c r="A9" s="14" t="n">
        <v>5</v>
      </c>
      <c r="B9" s="15" t="inlineStr">
        <is>
          <t>SIBL</t>
        </is>
      </c>
      <c r="C9" s="16" t="inlineStr">
        <is>
          <t>Khulna</t>
        </is>
      </c>
      <c r="D9" s="16" t="inlineStr">
        <is>
          <t>Hazi Mohshin Road ATM</t>
        </is>
      </c>
      <c r="E9" s="17" t="n"/>
      <c r="F9" s="17" t="n"/>
      <c r="G9" s="17" t="n"/>
      <c r="H9" s="17" t="n"/>
      <c r="I9" s="18" t="n">
        <v>27000</v>
      </c>
      <c r="J9" s="19" t="inlineStr">
        <is>
          <t>⚠️ FRAUD: 3 guards' salary (27k) sent to single A/C of Utpal Biswas.</t>
        </is>
      </c>
    </row>
    <row r="10" ht="28" customHeight="1">
      <c r="A10" s="20" t="n">
        <v>6</v>
      </c>
      <c r="B10" s="21" t="inlineStr">
        <is>
          <t>SIBL</t>
        </is>
      </c>
      <c r="C10" s="22" t="inlineStr">
        <is>
          <t>Shyamoli</t>
        </is>
      </c>
      <c r="D10" s="22" t="inlineStr">
        <is>
          <t>Shyamoli Branch</t>
        </is>
      </c>
      <c r="E10" s="23" t="n">
        <v>71375</v>
      </c>
      <c r="F10" s="23" t="n">
        <v>5944</v>
      </c>
      <c r="G10" s="24" t="n"/>
      <c r="H10" s="24" t="n"/>
      <c r="I10" s="23" t="n">
        <v>55500</v>
      </c>
      <c r="J10" s="25" t="inlineStr">
        <is>
          <t>✅ CLEAN: Bank paid guards direct, Company took commission.</t>
        </is>
      </c>
    </row>
    <row r="11" ht="28" customHeight="1">
      <c r="A11" s="20" t="n">
        <v>7</v>
      </c>
      <c r="B11" s="21" t="inlineStr">
        <is>
          <t>SIBL</t>
        </is>
      </c>
      <c r="C11" s="22" t="inlineStr">
        <is>
          <t>Shyamoli</t>
        </is>
      </c>
      <c r="D11" s="22" t="inlineStr">
        <is>
          <t>Adabor NCR ATM</t>
        </is>
      </c>
      <c r="E11" s="23" t="n">
        <v>44550</v>
      </c>
      <c r="F11" s="23" t="n">
        <v>9285</v>
      </c>
      <c r="G11" s="24" t="n"/>
      <c r="H11" s="24" t="n"/>
      <c r="I11" s="23" t="n">
        <v>27000</v>
      </c>
      <c r="J11" s="25" t="inlineStr">
        <is>
          <t>✅ CLEAN: Bank paid guards direct, Company took commission.</t>
        </is>
      </c>
    </row>
    <row r="12" ht="28" customHeight="1">
      <c r="A12" s="8" t="n">
        <v>8</v>
      </c>
      <c r="B12" s="9" t="inlineStr">
        <is>
          <t>UCB</t>
        </is>
      </c>
      <c r="C12" s="10" t="inlineStr">
        <is>
          <t>Station Road</t>
        </is>
      </c>
      <c r="D12" s="10" t="inlineStr">
        <is>
          <t>Station Road Branch</t>
        </is>
      </c>
      <c r="E12" s="12" t="n"/>
      <c r="F12" s="12" t="n"/>
      <c r="G12" s="12" t="n"/>
      <c r="H12" s="11" t="n">
        <v>71000</v>
      </c>
      <c r="I12" s="11" t="n">
        <v>58000</v>
      </c>
      <c r="J12" s="13" t="inlineStr">
        <is>
          <t>🚨 FRAUD (GHOST PAYROLL): Bank paid fake names (Kamal/Mohi); Real workers paid via Upay (Company).</t>
        </is>
      </c>
    </row>
    <row r="13" ht="28" customHeight="1">
      <c r="A13" s="8" t="n">
        <v>9</v>
      </c>
      <c r="B13" s="9" t="inlineStr">
        <is>
          <t>UCB</t>
        </is>
      </c>
      <c r="C13" s="10" t="inlineStr">
        <is>
          <t>Dampara</t>
        </is>
      </c>
      <c r="D13" s="10" t="inlineStr">
        <is>
          <t>Dampara Branch</t>
        </is>
      </c>
      <c r="E13" s="12" t="n"/>
      <c r="F13" s="12" t="n"/>
      <c r="G13" s="12" t="n"/>
      <c r="H13" s="11" t="n">
        <v>30000</v>
      </c>
      <c r="I13" s="11" t="n">
        <v>64000</v>
      </c>
      <c r="J13" s="13" t="inlineStr">
        <is>
          <t>🚨 FRAUD (GHOST PAYROLL): Bank paid 4 fake names; Real workers paid via Upay (Company).</t>
        </is>
      </c>
    </row>
    <row r="14" ht="28" customHeight="1">
      <c r="A14" s="8" t="n">
        <v>10</v>
      </c>
      <c r="B14" s="9" t="inlineStr">
        <is>
          <t>UCB</t>
        </is>
      </c>
      <c r="C14" s="10" t="inlineStr">
        <is>
          <t>Narshinghpur</t>
        </is>
      </c>
      <c r="D14" s="10" t="inlineStr">
        <is>
          <t>Narshinghpur Branch</t>
        </is>
      </c>
      <c r="E14" s="12" t="n"/>
      <c r="F14" s="12" t="n"/>
      <c r="G14" s="12" t="n"/>
      <c r="H14" s="11" t="n">
        <v>52000</v>
      </c>
      <c r="I14" s="11" t="n">
        <v>55000</v>
      </c>
      <c r="J14" s="13" t="inlineStr">
        <is>
          <t>🚨 FRAUD (GHOST PAYROLL): Bank paid fake names; Real workers paid via Upay (Company).</t>
        </is>
      </c>
    </row>
    <row r="15" ht="28" customHeight="1">
      <c r="A15" s="14" t="n">
        <v>11</v>
      </c>
      <c r="B15" s="15" t="inlineStr">
        <is>
          <t>UCB</t>
        </is>
      </c>
      <c r="C15" s="16" t="inlineStr">
        <is>
          <t>Tejgaon</t>
        </is>
      </c>
      <c r="D15" s="16" t="inlineStr">
        <is>
          <t>BAF Shaheen College ATM</t>
        </is>
      </c>
      <c r="E15" s="18" t="n">
        <v>39000</v>
      </c>
      <c r="F15" s="17" t="n"/>
      <c r="G15" s="18" t="n">
        <v>39000</v>
      </c>
      <c r="H15" s="18" t="n">
        <v>29800</v>
      </c>
      <c r="I15" s="17" t="n"/>
      <c r="J15" s="19" t="inlineStr">
        <is>
          <t>⚠️ FRAUD (POOLING): Company received full bill, paid 3 guards' money to single A/C (Idris Ali).</t>
        </is>
      </c>
    </row>
    <row r="16" ht="28" customHeight="1">
      <c r="A16" s="14" t="n">
        <v>12</v>
      </c>
      <c r="B16" s="15" t="inlineStr">
        <is>
          <t>UCB</t>
        </is>
      </c>
      <c r="C16" s="16" t="inlineStr">
        <is>
          <t>Karnafuli</t>
        </is>
      </c>
      <c r="D16" s="16" t="inlineStr">
        <is>
          <t>Bohaddarhat Branch</t>
        </is>
      </c>
      <c r="E16" s="17" t="n"/>
      <c r="F16" s="17" t="n"/>
      <c r="G16" s="17" t="n"/>
      <c r="H16" s="17" t="n"/>
      <c r="I16" s="18" t="n">
        <v>32000</v>
      </c>
      <c r="J16" s="19" t="inlineStr">
        <is>
          <t>⚠️ SUSPICIOUS: Abnormally high single disbursement to Jasim Uddin.</t>
        </is>
      </c>
    </row>
    <row r="17" ht="28" customHeight="1">
      <c r="A17" s="20" t="n">
        <v>13</v>
      </c>
      <c r="B17" s="21" t="inlineStr">
        <is>
          <t>UCB</t>
        </is>
      </c>
      <c r="C17" s="22" t="inlineStr">
        <is>
          <t>Moulavi Bazar</t>
        </is>
      </c>
      <c r="D17" s="22" t="inlineStr">
        <is>
          <t>Moulvibazar Branch (11 Staff)</t>
        </is>
      </c>
      <c r="E17" s="23" t="n">
        <v>198163</v>
      </c>
      <c r="F17" s="23" t="n">
        <v>9513</v>
      </c>
      <c r="G17" s="24" t="n"/>
      <c r="H17" s="23" t="n">
        <v>187500</v>
      </c>
      <c r="I17" s="24" t="n"/>
      <c r="J17" s="25" t="inlineStr">
        <is>
          <t>✅ CLEAN: Company disbursed local bill (Bill-05).</t>
        </is>
      </c>
    </row>
    <row r="18" ht="28" customHeight="1">
      <c r="A18" s="20" t="n">
        <v>14</v>
      </c>
      <c r="B18" s="21" t="inlineStr">
        <is>
          <t>UCB</t>
        </is>
      </c>
      <c r="C18" s="22" t="inlineStr">
        <is>
          <t>Keraniganj</t>
        </is>
      </c>
      <c r="D18" s="22" t="inlineStr">
        <is>
          <t>Keraniganj ATM</t>
        </is>
      </c>
      <c r="E18" s="23" t="n">
        <v>11000</v>
      </c>
      <c r="F18" s="23" t="n">
        <v>1000</v>
      </c>
      <c r="G18" s="24" t="n"/>
      <c r="H18" s="23" t="n">
        <v>10000</v>
      </c>
      <c r="I18" s="24" t="n"/>
      <c r="J18" s="25" t="inlineStr">
        <is>
          <t>✅ CLEAN: ADC Bill.</t>
        </is>
      </c>
    </row>
    <row r="19" ht="28" customHeight="1">
      <c r="A19" s="8" t="n">
        <v>15</v>
      </c>
      <c r="B19" s="9" t="inlineStr">
        <is>
          <t>DBBL</t>
        </is>
      </c>
      <c r="C19" s="10" t="inlineStr">
        <is>
          <t>Boro Bazar</t>
        </is>
      </c>
      <c r="D19" s="10" t="inlineStr">
        <is>
          <t>Boro Bazar Branch</t>
        </is>
      </c>
      <c r="E19" s="12" t="n"/>
      <c r="F19" s="12" t="n"/>
      <c r="G19" s="12" t="n"/>
      <c r="H19" s="12" t="n"/>
      <c r="I19" s="11" t="n">
        <v>35250</v>
      </c>
      <c r="J19" s="13" t="inlineStr">
        <is>
          <t>🚨 FRAUD (POOLING): Hafizul Islam paid Tk 35.2k single draw.</t>
        </is>
      </c>
    </row>
    <row r="20" ht="28" customHeight="1">
      <c r="A20" s="20" t="n">
        <v>16</v>
      </c>
      <c r="B20" s="21" t="inlineStr">
        <is>
          <t>DBBL</t>
        </is>
      </c>
      <c r="C20" s="22" t="inlineStr">
        <is>
          <t>Turag</t>
        </is>
      </c>
      <c r="D20" s="22" t="inlineStr">
        <is>
          <t>Ranavola Sub Branch</t>
        </is>
      </c>
      <c r="E20" s="23" t="n">
        <v>44850</v>
      </c>
      <c r="F20" s="23" t="n">
        <v>4600</v>
      </c>
      <c r="G20" s="24" t="n"/>
      <c r="H20" s="24" t="n"/>
      <c r="I20" s="23" t="n">
        <v>34400</v>
      </c>
      <c r="J20" s="25" t="inlineStr">
        <is>
          <t>✅ CLEAN: Math matches perfectly. Bank paid guards, company took commission.</t>
        </is>
      </c>
    </row>
    <row r="21" ht="28" customHeight="1">
      <c r="A21" s="20" t="n">
        <v>17</v>
      </c>
      <c r="B21" s="21" t="inlineStr">
        <is>
          <t>DBBL</t>
        </is>
      </c>
      <c r="C21" s="22" t="inlineStr">
        <is>
          <t>Basaboo</t>
        </is>
      </c>
      <c r="D21" s="22" t="inlineStr">
        <is>
          <t>Basaboo Tempo Stand FT</t>
        </is>
      </c>
      <c r="E21" s="23" t="n">
        <v>44850</v>
      </c>
      <c r="F21" s="23" t="n">
        <v>4000</v>
      </c>
      <c r="G21" s="24" t="n"/>
      <c r="H21" s="24" t="n"/>
      <c r="I21" s="23" t="n">
        <v>35000</v>
      </c>
      <c r="J21" s="25" t="inlineStr">
        <is>
          <t>✅ CLEAN: ADC Bill-23 matches guard pay.</t>
        </is>
      </c>
    </row>
    <row r="22" ht="28" customHeight="1">
      <c r="A22" s="26" t="n">
        <v>18</v>
      </c>
      <c r="B22" s="27" t="inlineStr">
        <is>
          <t>MMBPLC</t>
        </is>
      </c>
      <c r="C22" s="28" t="inlineStr">
        <is>
          <t>Central (27 Locs)</t>
        </is>
      </c>
      <c r="D22" s="28" t="inlineStr">
        <is>
          <t>Master Bill (151+ Staff)</t>
        </is>
      </c>
      <c r="E22" s="29" t="n">
        <v>2384700</v>
      </c>
      <c r="F22" s="30" t="n"/>
      <c r="G22" s="29" t="n">
        <v>2052915</v>
      </c>
      <c r="H22" s="30" t="n"/>
      <c r="I22" s="30" t="n"/>
      <c r="J22" s="31" t="inlineStr">
        <is>
          <t>⚠️ AUDIT PENDING: Full net bill collected. Awaiting guard field payout reconciliation.</t>
        </is>
      </c>
    </row>
    <row r="23" ht="28" customHeight="1">
      <c r="A23" s="32" t="inlineStr">
        <is>
          <t>TOTALS</t>
        </is>
      </c>
      <c r="B23" s="33" t="n"/>
      <c r="C23" s="33" t="n"/>
      <c r="D23" s="33" t="n"/>
      <c r="E23" s="34">
        <f>SUM(E5:E22)</f>
        <v/>
      </c>
      <c r="F23" s="34">
        <f>SUM(F5:F22)</f>
        <v/>
      </c>
      <c r="G23" s="34">
        <f>SUM(G5:G22)</f>
        <v/>
      </c>
      <c r="H23" s="34">
        <f>SUM(H5:H22)</f>
        <v/>
      </c>
      <c r="I23" s="34">
        <f>SUM(I5:I22)</f>
        <v/>
      </c>
      <c r="J23" s="35" t="n"/>
    </row>
  </sheetData>
  <mergeCells count="3">
    <mergeCell ref="A1:J1"/>
    <mergeCell ref="A23:D23"/>
    <mergeCell ref="A2:J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2026-09-15T06:34:18Z</dcterms:created>
  <dcterms:modified xsi:type="dcterms:W3CDTF">2026-09-15T06:34:18Z</dcterms:modified>
</cp:coreProperties>
</file>