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Flow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BDT] #,##0.0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0A2540"/>
      <sz val="10"/>
    </font>
    <font>
      <name val="Segoe UI"/>
      <b val="1"/>
      <color rgb="00FFFFFF"/>
      <sz val="9.5"/>
    </font>
    <font>
      <name val="Segoe UI"/>
      <sz val="9.5"/>
    </font>
    <font>
      <name val="Segoe UI"/>
      <b val="1"/>
      <sz val="9.5"/>
    </font>
    <font>
      <name val="Segoe UI"/>
      <b val="1"/>
      <color rgb="00991B1B"/>
      <sz val="9.5"/>
    </font>
    <font>
      <name val="Segoe UI"/>
      <b val="1"/>
      <color rgb="001E40AF"/>
      <sz val="9.5"/>
    </font>
    <font>
      <name val="Segoe UI"/>
      <b val="1"/>
      <color rgb="0092400E"/>
      <sz val="9.5"/>
    </font>
    <font>
      <name val="Segoe UI"/>
      <b val="1"/>
      <color rgb="00166534"/>
      <sz val="9.5"/>
    </font>
    <font>
      <name val="Segoe UI"/>
      <b val="1"/>
      <sz val="10"/>
    </font>
    <font>
      <name val="Segoe UI"/>
      <b val="1"/>
      <color rgb="000A2540"/>
      <sz val="10"/>
    </font>
  </fonts>
  <fills count="15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E8F0FE"/>
      </patternFill>
    </fill>
    <fill>
      <patternFill patternType="solid">
        <fgColor rgb="001E3A5F"/>
      </patternFill>
    </fill>
    <fill>
      <patternFill patternType="solid">
        <fgColor rgb="001E293B"/>
      </patternFill>
    </fill>
    <fill>
      <patternFill patternType="solid">
        <fgColor rgb="001E3A8A"/>
      </patternFill>
    </fill>
    <fill>
      <patternFill patternType="solid">
        <fgColor rgb="00064E3B"/>
      </patternFill>
    </fill>
    <fill>
      <patternFill patternType="solid">
        <fgColor rgb="0078350F"/>
      </patternFill>
    </fill>
    <fill>
      <patternFill patternType="solid">
        <fgColor rgb="00FEE2E2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 wrapText="1"/>
    </xf>
    <xf numFmtId="164" fontId="5" fillId="9" borderId="2" applyAlignment="1" pivotButton="0" quotePrefix="0" xfId="0">
      <alignment horizontal="right" vertical="center"/>
    </xf>
    <xf numFmtId="0" fontId="4" fillId="9" borderId="2" applyAlignment="1" pivotButton="0" quotePrefix="0" xfId="0">
      <alignment horizontal="right" vertical="center"/>
    </xf>
    <xf numFmtId="0" fontId="6" fillId="9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 wrapText="1"/>
    </xf>
    <xf numFmtId="164" fontId="5" fillId="10" borderId="2" applyAlignment="1" pivotButton="0" quotePrefix="0" xfId="0">
      <alignment horizontal="right" vertical="center"/>
    </xf>
    <xf numFmtId="0" fontId="4" fillId="10" borderId="2" applyAlignment="1" pivotButton="0" quotePrefix="0" xfId="0">
      <alignment horizontal="right" vertical="center"/>
    </xf>
    <xf numFmtId="0" fontId="7" fillId="10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 wrapText="1"/>
    </xf>
    <xf numFmtId="164" fontId="5" fillId="11" borderId="2" applyAlignment="1" pivotButton="0" quotePrefix="0" xfId="0">
      <alignment horizontal="right" vertical="center"/>
    </xf>
    <xf numFmtId="0" fontId="4" fillId="11" borderId="2" applyAlignment="1" pivotButton="0" quotePrefix="0" xfId="0">
      <alignment horizontal="right" vertical="center"/>
    </xf>
    <xf numFmtId="0" fontId="8" fillId="11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center" wrapText="1"/>
    </xf>
    <xf numFmtId="164" fontId="5" fillId="12" borderId="2" applyAlignment="1" pivotButton="0" quotePrefix="0" xfId="0">
      <alignment horizontal="right" vertical="center"/>
    </xf>
    <xf numFmtId="0" fontId="4" fillId="12" borderId="2" applyAlignment="1" pivotButton="0" quotePrefix="0" xfId="0">
      <alignment horizontal="right" vertical="center"/>
    </xf>
    <xf numFmtId="0" fontId="9" fillId="12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left" vertical="center" wrapText="1"/>
    </xf>
    <xf numFmtId="164" fontId="5" fillId="13" borderId="2" applyAlignment="1" pivotButton="0" quotePrefix="0" xfId="0">
      <alignment horizontal="right" vertical="center"/>
    </xf>
    <xf numFmtId="0" fontId="4" fillId="13" borderId="2" applyAlignment="1" pivotButton="0" quotePrefix="0" xfId="0">
      <alignment horizontal="right" vertical="center"/>
    </xf>
    <xf numFmtId="0" fontId="10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11" fillId="14" borderId="1" applyAlignment="1" pivotButton="0" quotePrefix="0" xfId="0">
      <alignment horizontal="right" vertical="center"/>
    </xf>
    <xf numFmtId="0" fontId="0" fillId="1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55" customWidth="1" min="10" max="10"/>
  </cols>
  <sheetData>
    <row r="1" ht="28" customHeight="1">
      <c r="A1" s="1" t="inlineStr">
        <is>
          <t>MASTER FINANCIAL FLOW &amp; FRAUD CATCHER (DBBL, SIBL, UCB, MMBPLC)</t>
        </is>
      </c>
    </row>
    <row r="2" ht="20" customHeight="1">
      <c r="A2" s="2" t="inlineStr">
        <is>
          <t>Tracking exact invoice amounts vs. Company Received vs. Actual Guard Payouts</t>
        </is>
      </c>
    </row>
    <row r="4" ht="30" customHeight="1">
      <c r="A4" s="3" t="inlineStr">
        <is>
          <t>SL NO</t>
        </is>
      </c>
      <c r="B4" s="3" t="inlineStr">
        <is>
          <t>BANK</t>
        </is>
      </c>
      <c r="C4" s="3" t="inlineStr">
        <is>
          <t>BRANCH / SUB-BRANCH</t>
        </is>
      </c>
      <c r="D4" s="3" t="inlineStr">
        <is>
          <t>DUTY POST</t>
        </is>
      </c>
      <c r="E4" s="4" t="inlineStr">
        <is>
          <t>TOTAL BILL OF
SERVICE (INVOICED)</t>
        </is>
      </c>
      <c r="F4" s="5" t="inlineStr">
        <is>
          <t>CO. RECEIVED:
COMMISSION ONLY</t>
        </is>
      </c>
      <c r="G4" s="5" t="inlineStr">
        <is>
          <t>CO. INVOICED:
FULL BILL CLAIMED</t>
        </is>
      </c>
      <c r="H4" s="6" t="inlineStr">
        <is>
          <t>SALARY GIVEN
BY COMPANY</t>
        </is>
      </c>
      <c r="I4" s="7" t="inlineStr">
        <is>
          <t>SALARY GIVEN
BY BANK</t>
        </is>
      </c>
      <c r="J4" s="3" t="inlineStr">
        <is>
          <t>REMARK</t>
        </is>
      </c>
    </row>
    <row r="5" ht="24" customHeight="1">
      <c r="A5" s="8" t="n">
        <v>1</v>
      </c>
      <c r="B5" s="8" t="inlineStr">
        <is>
          <t>SIBL</t>
        </is>
      </c>
      <c r="C5" s="9" t="inlineStr">
        <is>
          <t>Mohammadpur</t>
        </is>
      </c>
      <c r="D5" s="9" t="inlineStr">
        <is>
          <t>Tajmohal Road NCR ATM</t>
        </is>
      </c>
      <c r="E5" s="10" t="n">
        <v>39000</v>
      </c>
      <c r="F5" s="10" t="n">
        <v>12000</v>
      </c>
      <c r="G5" s="11" t="n"/>
      <c r="H5" s="10" t="n">
        <v>27000</v>
      </c>
      <c r="I5" s="10" t="n">
        <v>27000</v>
      </c>
      <c r="J5" s="12" t="inlineStr">
        <is>
          <t>🚨 FRAUD (DOUBLE PAY): Both salary columns filled. 54k paid out for a 27k post. Jahed (Bank) vs Sabbir/Mabudul (Co).</t>
        </is>
      </c>
    </row>
    <row r="6" ht="24" customHeight="1">
      <c r="A6" s="13" t="n">
        <v>2</v>
      </c>
      <c r="B6" s="13" t="inlineStr">
        <is>
          <t>SIBL</t>
        </is>
      </c>
      <c r="C6" s="14" t="inlineStr">
        <is>
          <t>Dakkhin Khan</t>
        </is>
      </c>
      <c r="D6" s="14" t="inlineStr">
        <is>
          <t>Dakkhin Khan Branch</t>
        </is>
      </c>
      <c r="E6" s="15" t="n">
        <v>55000</v>
      </c>
      <c r="F6" s="16" t="n"/>
      <c r="G6" s="15" t="n">
        <v>47348</v>
      </c>
      <c r="H6" s="16" t="n"/>
      <c r="I6" s="15" t="n">
        <v>34500</v>
      </c>
      <c r="J6" s="17" t="inlineStr">
        <is>
          <t>⚖️ CLAIM RECONCILIATION: Bill-06 claimed Tk 47,348 net. Bank paid Nazrul Tk 34,500 direct; Company invoice requires salary deduction adjustment.</t>
        </is>
      </c>
    </row>
    <row r="7" ht="24" customHeight="1">
      <c r="A7" s="13" t="n">
        <v>3</v>
      </c>
      <c r="B7" s="13" t="inlineStr">
        <is>
          <t>SIBL</t>
        </is>
      </c>
      <c r="C7" s="14" t="inlineStr">
        <is>
          <t>Dakkhin Khan</t>
        </is>
      </c>
      <c r="D7" s="14" t="inlineStr">
        <is>
          <t>Dakkhin Khan ATM</t>
        </is>
      </c>
      <c r="E7" s="15" t="n">
        <v>44550</v>
      </c>
      <c r="F7" s="16" t="n"/>
      <c r="G7" s="15" t="n">
        <v>38352</v>
      </c>
      <c r="H7" s="16" t="n"/>
      <c r="I7" s="15" t="n">
        <v>24000</v>
      </c>
      <c r="J7" s="17" t="inlineStr">
        <is>
          <t>⚖️ CLAIM RECONCILIATION: Bill-07 claimed Tk 38,352 net. Bank paid Sadek &amp; Nurul Tk 24,000 direct; Invoice requires salary deduction adjustment.</t>
        </is>
      </c>
    </row>
    <row r="8" ht="24" customHeight="1">
      <c r="A8" s="18" t="n">
        <v>4</v>
      </c>
      <c r="B8" s="18" t="inlineStr">
        <is>
          <t>SIBL</t>
        </is>
      </c>
      <c r="C8" s="19" t="inlineStr">
        <is>
          <t>Sherpur</t>
        </is>
      </c>
      <c r="D8" s="19" t="inlineStr">
        <is>
          <t>S.S Filling &amp; Babor Rice Mill</t>
        </is>
      </c>
      <c r="E8" s="20" t="n">
        <v>103950</v>
      </c>
      <c r="F8" s="21" t="n"/>
      <c r="G8" s="20" t="n">
        <v>103950</v>
      </c>
      <c r="H8" s="21" t="n"/>
      <c r="I8" s="20" t="n">
        <v>69100</v>
      </c>
      <c r="J8" s="22" t="inlineStr">
        <is>
          <t>⚠️ AUDIT IRREGULARITY: Bills 88 &amp; 89 claim Tk 103,950 while single person (Soukat Jahan) drew Tk 69,100 from bank advice. Verify field disbursement.</t>
        </is>
      </c>
    </row>
    <row r="9" ht="24" customHeight="1">
      <c r="A9" s="18" t="n">
        <v>5</v>
      </c>
      <c r="B9" s="18" t="inlineStr">
        <is>
          <t>SIBL</t>
        </is>
      </c>
      <c r="C9" s="19" t="inlineStr">
        <is>
          <t>Khulna</t>
        </is>
      </c>
      <c r="D9" s="19" t="inlineStr">
        <is>
          <t>Hazi Mohshin Road ATM</t>
        </is>
      </c>
      <c r="E9" s="20" t="n">
        <v>39000</v>
      </c>
      <c r="F9" s="21" t="n"/>
      <c r="G9" s="21" t="n"/>
      <c r="H9" s="21" t="n"/>
      <c r="I9" s="20" t="n">
        <v>27000</v>
      </c>
      <c r="J9" s="22" t="inlineStr">
        <is>
          <t>⚠️ POOLED ACCOUNT: 3 guards' salary (Tk 27,000) sent to single A/C of Utpal Biswas. Verify field distribution.</t>
        </is>
      </c>
    </row>
    <row r="10" ht="24" customHeight="1">
      <c r="A10" s="23" t="n">
        <v>6</v>
      </c>
      <c r="B10" s="23" t="inlineStr">
        <is>
          <t>SIBL</t>
        </is>
      </c>
      <c r="C10" s="24" t="inlineStr">
        <is>
          <t>Shyamoli</t>
        </is>
      </c>
      <c r="D10" s="24" t="inlineStr">
        <is>
          <t>Shyamoli Branch</t>
        </is>
      </c>
      <c r="E10" s="25" t="n">
        <v>71375</v>
      </c>
      <c r="F10" s="25" t="n">
        <v>5944</v>
      </c>
      <c r="G10" s="26" t="n"/>
      <c r="H10" s="26" t="n"/>
      <c r="I10" s="25" t="n">
        <v>55500</v>
      </c>
      <c r="J10" s="27" t="inlineStr">
        <is>
          <t>✅ CLEAN: Bank paid guards direct (Tk 55.5k), Company billed &amp; received commission only (Tk 5,944, Bill-08).</t>
        </is>
      </c>
    </row>
    <row r="11" ht="24" customHeight="1">
      <c r="A11" s="23" t="n">
        <v>7</v>
      </c>
      <c r="B11" s="23" t="inlineStr">
        <is>
          <t>SIBL</t>
        </is>
      </c>
      <c r="C11" s="24" t="inlineStr">
        <is>
          <t>Shyamoli</t>
        </is>
      </c>
      <c r="D11" s="24" t="inlineStr">
        <is>
          <t>Adabor NCR ATM</t>
        </is>
      </c>
      <c r="E11" s="25" t="n">
        <v>44550</v>
      </c>
      <c r="F11" s="25" t="n">
        <v>9285</v>
      </c>
      <c r="G11" s="26" t="n"/>
      <c r="H11" s="26" t="n"/>
      <c r="I11" s="25" t="n">
        <v>27000</v>
      </c>
      <c r="J11" s="27" t="inlineStr">
        <is>
          <t>✅ CLEAN: Bank paid guards direct (Tk 27k), Company billed &amp; received commission only (Tk 9,285, Bill-09).</t>
        </is>
      </c>
    </row>
    <row r="12" ht="24" customHeight="1">
      <c r="A12" s="8" t="n">
        <v>8</v>
      </c>
      <c r="B12" s="8" t="inlineStr">
        <is>
          <t>UCB</t>
        </is>
      </c>
      <c r="C12" s="9" t="inlineStr">
        <is>
          <t>Chittagong</t>
        </is>
      </c>
      <c r="D12" s="9" t="inlineStr">
        <is>
          <t>Station Road Branch</t>
        </is>
      </c>
      <c r="E12" s="10" t="n">
        <v>85000</v>
      </c>
      <c r="F12" s="11" t="n"/>
      <c r="G12" s="11" t="n"/>
      <c r="H12" s="10" t="n">
        <v>71000</v>
      </c>
      <c r="I12" s="10" t="n">
        <v>58000</v>
      </c>
      <c r="J12" s="12" t="inlineStr">
        <is>
          <t>🚨 GHOST PAYROLL: Bank advice drained Tk 58,000 to fake names (Kamal/Mohi); Real on-site staff paid Tk 71,000 via Company Upay wallet.</t>
        </is>
      </c>
    </row>
    <row r="13" ht="24" customHeight="1">
      <c r="A13" s="8" t="n">
        <v>9</v>
      </c>
      <c r="B13" s="8" t="inlineStr">
        <is>
          <t>UCB</t>
        </is>
      </c>
      <c r="C13" s="9" t="inlineStr">
        <is>
          <t>Chittagong</t>
        </is>
      </c>
      <c r="D13" s="9" t="inlineStr">
        <is>
          <t>Dampara Branch</t>
        </is>
      </c>
      <c r="E13" s="10" t="n">
        <v>80000</v>
      </c>
      <c r="F13" s="11" t="n"/>
      <c r="G13" s="11" t="n"/>
      <c r="H13" s="10" t="n">
        <v>30000</v>
      </c>
      <c r="I13" s="10" t="n">
        <v>64000</v>
      </c>
      <c r="J13" s="12" t="inlineStr">
        <is>
          <t>🚨 GHOST PAYROLL: Bank advice drained Tk 64,000 to 4 fake names; Real field messengers (Aslam &amp; Ismail) paid Tk 30,000 via Upay.</t>
        </is>
      </c>
    </row>
    <row r="14" ht="24" customHeight="1">
      <c r="A14" s="8" t="n">
        <v>10</v>
      </c>
      <c r="B14" s="8" t="inlineStr">
        <is>
          <t>UCB</t>
        </is>
      </c>
      <c r="C14" s="9" t="inlineStr">
        <is>
          <t>Ashulia</t>
        </is>
      </c>
      <c r="D14" s="9" t="inlineStr">
        <is>
          <t>Narshinghpur Branch</t>
        </is>
      </c>
      <c r="E14" s="10" t="n">
        <v>75000</v>
      </c>
      <c r="F14" s="11" t="n"/>
      <c r="G14" s="11" t="n"/>
      <c r="H14" s="10" t="n">
        <v>52000</v>
      </c>
      <c r="I14" s="10" t="n">
        <v>55000</v>
      </c>
      <c r="J14" s="12" t="inlineStr">
        <is>
          <t>🚨 GHOST PAYROLL: Bank advice drained Tk 55,000 to 3 fake accounts; Real field workers paid Tk 52,000 via Company Upay wallet.</t>
        </is>
      </c>
    </row>
    <row r="15" ht="24" customHeight="1">
      <c r="A15" s="18" t="n">
        <v>11</v>
      </c>
      <c r="B15" s="18" t="inlineStr">
        <is>
          <t>UCB</t>
        </is>
      </c>
      <c r="C15" s="19" t="inlineStr">
        <is>
          <t>Tejgaon</t>
        </is>
      </c>
      <c r="D15" s="19" t="inlineStr">
        <is>
          <t>BAF Shaheen College ATM</t>
        </is>
      </c>
      <c r="E15" s="20" t="n">
        <v>39000</v>
      </c>
      <c r="F15" s="21" t="n"/>
      <c r="G15" s="20" t="n">
        <v>33000</v>
      </c>
      <c r="H15" s="21" t="n"/>
      <c r="I15" s="20" t="n">
        <v>29800</v>
      </c>
      <c r="J15" s="22" t="inlineStr">
        <is>
          <t>⚠️ POOLED ACCOUNT: Bill-18 claimed Tk 33,000 for 3 guards, but bank paid Tk 29,800 into single A/C of Idris Ali Sardar.</t>
        </is>
      </c>
    </row>
    <row r="16" ht="24" customHeight="1">
      <c r="A16" s="18" t="n">
        <v>12</v>
      </c>
      <c r="B16" s="18" t="inlineStr">
        <is>
          <t>UCB</t>
        </is>
      </c>
      <c r="C16" s="19" t="inlineStr">
        <is>
          <t>Karnafuli</t>
        </is>
      </c>
      <c r="D16" s="19" t="inlineStr">
        <is>
          <t>Bohaddarhat Branch</t>
        </is>
      </c>
      <c r="E16" s="20" t="n">
        <v>45000</v>
      </c>
      <c r="F16" s="21" t="n"/>
      <c r="G16" s="21" t="n"/>
      <c r="H16" s="21" t="n"/>
      <c r="I16" s="20" t="n">
        <v>32000</v>
      </c>
      <c r="J16" s="22" t="inlineStr">
        <is>
          <t>⚠️ SUSPICIOUS PAYOUT: Abnormally high single disbursement to Jasim Uddin (Tk 32,000). Verify duty roster.</t>
        </is>
      </c>
    </row>
    <row r="17" ht="24" customHeight="1">
      <c r="A17" s="23" t="n">
        <v>13</v>
      </c>
      <c r="B17" s="23" t="inlineStr">
        <is>
          <t>UCB</t>
        </is>
      </c>
      <c r="C17" s="24" t="inlineStr">
        <is>
          <t>Moulavi Bazar</t>
        </is>
      </c>
      <c r="D17" s="24" t="inlineStr">
        <is>
          <t>Moulvibazar Branch (11 Staff)</t>
        </is>
      </c>
      <c r="E17" s="25" t="n">
        <v>198163</v>
      </c>
      <c r="F17" s="25" t="n">
        <v>9513</v>
      </c>
      <c r="G17" s="26" t="n"/>
      <c r="H17" s="25" t="n">
        <v>187500</v>
      </c>
      <c r="I17" s="26" t="n"/>
      <c r="J17" s="27" t="inlineStr">
        <is>
          <t>✅ CLEAN: Direct branch settlement. Company disbursed local bill for 11 specific staff (Bill-05).</t>
        </is>
      </c>
    </row>
    <row r="18" ht="24" customHeight="1">
      <c r="A18" s="23" t="n">
        <v>14</v>
      </c>
      <c r="B18" s="23" t="inlineStr">
        <is>
          <t>UCB</t>
        </is>
      </c>
      <c r="C18" s="24" t="inlineStr">
        <is>
          <t>Keraniganj</t>
        </is>
      </c>
      <c r="D18" s="24" t="inlineStr">
        <is>
          <t>Keraniganj ATM</t>
        </is>
      </c>
      <c r="E18" s="25" t="n">
        <v>11000</v>
      </c>
      <c r="F18" s="25" t="n">
        <v>1000</v>
      </c>
      <c r="G18" s="26" t="n"/>
      <c r="H18" s="25" t="n">
        <v>10000</v>
      </c>
      <c r="I18" s="26" t="n"/>
      <c r="J18" s="27" t="inlineStr">
        <is>
          <t>✅ CLEAN: ADC Bill-18 matched. Guard Ripon paid Tk 10,000; Margin Tk 1,000.</t>
        </is>
      </c>
    </row>
    <row r="19" ht="24" customHeight="1">
      <c r="A19" s="8" t="n">
        <v>15</v>
      </c>
      <c r="B19" s="8" t="inlineStr">
        <is>
          <t>DBBL</t>
        </is>
      </c>
      <c r="C19" s="9" t="inlineStr">
        <is>
          <t>Boro Bazar</t>
        </is>
      </c>
      <c r="D19" s="9" t="inlineStr">
        <is>
          <t>Boro Bazar Branch</t>
        </is>
      </c>
      <c r="E19" s="10" t="n">
        <v>85000</v>
      </c>
      <c r="F19" s="11" t="n"/>
      <c r="G19" s="11" t="n"/>
      <c r="H19" s="11" t="n"/>
      <c r="I19" s="10" t="n">
        <v>35250</v>
      </c>
      <c r="J19" s="12" t="inlineStr">
        <is>
          <t>🚨 POOLED ACCOUNT: Hafizul Islam paid Tk 35,250 single draw; Gunman Labu Sheikh draws Tk 25,000 separately.</t>
        </is>
      </c>
    </row>
    <row r="20" ht="24" customHeight="1">
      <c r="A20" s="23" t="n">
        <v>16</v>
      </c>
      <c r="B20" s="23" t="inlineStr">
        <is>
          <t>DBBL</t>
        </is>
      </c>
      <c r="C20" s="24" t="inlineStr">
        <is>
          <t>Turag</t>
        </is>
      </c>
      <c r="D20" s="24" t="inlineStr">
        <is>
          <t>Ranavola Sub Branch</t>
        </is>
      </c>
      <c r="E20" s="25" t="n">
        <v>44850</v>
      </c>
      <c r="F20" s="25" t="n">
        <v>4600</v>
      </c>
      <c r="G20" s="26" t="n"/>
      <c r="H20" s="26" t="n"/>
      <c r="I20" s="25" t="n">
        <v>34400</v>
      </c>
      <c r="J20" s="27" t="inlineStr">
        <is>
          <t>✅ CLEAN: Bill-24 verified. Bank paid guards Tk 34.4k (Apel &amp; Enamul), Company took margin Tk 4.6k.</t>
        </is>
      </c>
    </row>
    <row r="21" ht="24" customHeight="1">
      <c r="A21" s="23" t="n">
        <v>17</v>
      </c>
      <c r="B21" s="23" t="inlineStr">
        <is>
          <t>DBBL</t>
        </is>
      </c>
      <c r="C21" s="24" t="inlineStr">
        <is>
          <t>Basaboo</t>
        </is>
      </c>
      <c r="D21" s="24" t="inlineStr">
        <is>
          <t>Basaboo Tempo Stand FT</t>
        </is>
      </c>
      <c r="E21" s="25" t="n">
        <v>44850</v>
      </c>
      <c r="F21" s="25" t="n">
        <v>4000</v>
      </c>
      <c r="G21" s="26" t="n"/>
      <c r="H21" s="26" t="n"/>
      <c r="I21" s="25" t="n">
        <v>35000</v>
      </c>
      <c r="J21" s="27" t="inlineStr">
        <is>
          <t>✅ CLEAN: ADC Bill-23 verified. 2 Guards paid Tk 35k, company margin Tk 4k.</t>
        </is>
      </c>
    </row>
    <row r="22" ht="24" customHeight="1">
      <c r="A22" s="28" t="n">
        <v>18</v>
      </c>
      <c r="B22" s="28" t="inlineStr">
        <is>
          <t>MMBPLC</t>
        </is>
      </c>
      <c r="C22" s="29" t="inlineStr">
        <is>
          <t>Central (27 Locs)</t>
        </is>
      </c>
      <c r="D22" s="29" t="inlineStr">
        <is>
          <t>Master Bill (151+ Staff)</t>
        </is>
      </c>
      <c r="E22" s="30" t="n">
        <v>2384700</v>
      </c>
      <c r="F22" s="31" t="n"/>
      <c r="G22" s="30" t="n">
        <v>2052915</v>
      </c>
      <c r="H22" s="31" t="n"/>
      <c r="I22" s="31" t="n"/>
      <c r="J22" s="29" t="inlineStr">
        <is>
          <t>ℹ️ CENTRALIZED MASTER BILL: Net bill claim of Tk 2,052,915 deposited into vendor A/C 111011100000526 for 27 locations nationwide.</t>
        </is>
      </c>
    </row>
    <row r="23" ht="26" customHeight="1">
      <c r="A23" s="32" t="inlineStr">
        <is>
          <t>TOTALS</t>
        </is>
      </c>
      <c r="B23" s="33" t="n"/>
      <c r="C23" s="33" t="n"/>
      <c r="D23" s="33" t="n"/>
      <c r="E23" s="34">
        <f>SUM(E5:E22)</f>
        <v/>
      </c>
      <c r="F23" s="34">
        <f>SUM(F5:F22)</f>
        <v/>
      </c>
      <c r="G23" s="34">
        <f>SUM(G5:G22)</f>
        <v/>
      </c>
      <c r="H23" s="34">
        <f>SUM(H5:H22)</f>
        <v/>
      </c>
      <c r="I23" s="34">
        <f>SUM(I5:I22)</f>
        <v/>
      </c>
      <c r="J23" s="35" t="n"/>
    </row>
  </sheetData>
  <mergeCells count="3">
    <mergeCell ref="A1:J1"/>
    <mergeCell ref="A23:D2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2026-09-15T15:17:01Z</dcterms:created>
  <dcterms:modified xsi:type="dcterms:W3CDTF">2026-09-15T15:17:01Z</dcterms:modified>
</cp:coreProperties>
</file>